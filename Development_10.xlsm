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5719D812-64CE-47EA-8CDF-FA162D7FB326}" xr6:coauthVersionLast="47" xr6:coauthVersionMax="47" xr10:uidLastSave="{00000000-0000-0000-0000-000000000000}"/>
  <bookViews>
    <workbookView xWindow="-108" yWindow="-108" windowWidth="23256" windowHeight="12456" firstSheet="4" activeTab="8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Cancel_Master" sheetId="9" r:id="rId6"/>
    <sheet name="Sheet2" sheetId="8" r:id="rId7"/>
    <sheet name="TR_Master" sheetId="4" r:id="rId8"/>
    <sheet name="TR_Report" sheetId="11" r:id="rId9"/>
    <sheet name="Emp_Master" sheetId="2" r:id="rId10"/>
  </sheets>
  <definedNames>
    <definedName name="ExternalData_1" localSheetId="5" hidden="1">Cancel_Master!$A$1:$J$4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7" i="5" l="1"/>
  <c r="H36" i="5"/>
  <c r="H8" i="4"/>
  <c r="I8" i="4"/>
  <c r="H7" i="4"/>
  <c r="I7" i="4"/>
  <c r="H6" i="4"/>
  <c r="I6" i="4"/>
  <c r="I2" i="4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5B8F71-DD35-4910-BA89-DC512C7135A7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</connections>
</file>

<file path=xl/sharedStrings.xml><?xml version="1.0" encoding="utf-8"?>
<sst xmlns="http://schemas.openxmlformats.org/spreadsheetml/2006/main" count="291" uniqueCount="186">
  <si>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</si>
  <si>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</si>
  <si>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</si>
  <si>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</si>
  <si>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</si>
  <si>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</si>
  <si>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</si>
  <si>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</si>
  <si>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</si>
  <si>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</si>
  <si>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</si>
  <si>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</si>
  <si>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</si>
  <si>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</si>
  <si>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</si>
  <si>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</si>
  <si>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</si>
  <si>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</si>
  <si>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</si>
  <si>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</si>
  <si>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</si>
  <si>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</si>
  <si>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</si>
  <si>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</si>
  <si>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</si>
  <si>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</si>
  <si>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</si>
  <si>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</si>
  <si>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</si>
  <si>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</si>
  <si>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</si>
  <si>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</si>
  <si>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</si>
  <si>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</si>
  <si>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</si>
  <si>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</si>
  <si>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</si>
  <si>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</si>
  <si>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</si>
  <si>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</si>
  <si>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</si>
  <si>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</si>
  <si>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</si>
  <si>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</si>
  <si>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</si>
  <si>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</si>
  <si>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</si>
  <si>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</si>
  <si>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</si>
  <si>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</si>
  <si>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</si>
  <si>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</si>
  <si>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</si>
  <si>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</si>
  <si>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</si>
  <si>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</si>
  <si>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</si>
  <si>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</si>
  <si>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</si>
  <si>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</si>
  <si>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</si>
  <si>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</si>
  <si>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</si>
  <si>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</si>
  <si>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</si>
  <si>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</si>
  <si>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</si>
  <si>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</si>
  <si>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</si>
  <si>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</si>
  <si>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</si>
  <si>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</si>
  <si>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</si>
  <si>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</si>
  <si>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</si>
  <si>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</si>
  <si>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</si>
  <si>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</si>
  <si>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</si>
  <si>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</si>
  <si>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</si>
  <si>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</si>
  <si>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</si>
  <si>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</si>
  <si>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</si>
  <si>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</si>
  <si>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</si>
  <si>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</si>
  <si>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</si>
  <si>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</si>
  <si>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</si>
  <si>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</si>
  <si>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</si>
  <si>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</si>
  <si>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</si>
  <si>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</si>
  <si>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</si>
  <si>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</si>
  <si>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</si>
  <si>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</si>
  <si>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</si>
  <si>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</si>
  <si>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</si>
  <si>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</si>
  <si>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</si>
  <si>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</si>
  <si>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</si>
  <si>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</si>
  <si>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</si>
  <si>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</si>
  <si>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</si>
  <si>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</si>
  <si>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</si>
  <si>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</si>
  <si>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</si>
  <si>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</si>
  <si>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</si>
  <si>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</si>
  <si>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</si>
  <si>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</si>
  <si>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</si>
  <si>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</si>
  <si>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</si>
  <si>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</si>
  <si>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</si>
  <si>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</si>
  <si>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</si>
  <si>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</si>
  <si>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</si>
  <si>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</si>
  <si>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</si>
  <si>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</si>
  <si>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</si>
  <si>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</si>
  <si>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</si>
  <si>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</si>
  <si>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</si>
  <si>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</si>
  <si>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</si>
  <si>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</si>
  <si>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</si>
  <si>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</si>
  <si>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</si>
  <si>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</si>
  <si>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</si>
  <si>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</si>
  <si>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</si>
  <si>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</si>
  <si>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</si>
  <si>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</si>
  <si>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</si>
  <si>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</si>
  <si>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</si>
  <si>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</si>
  <si>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</si>
  <si>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</si>
  <si>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</si>
  <si>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</si>
  <si>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</si>
  <si>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</si>
  <si>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</si>
  <si>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</si>
  <si>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</si>
  <si>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</si>
  <si>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</si>
  <si>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</si>
  <si>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</si>
  <si>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</si>
  <si>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</si>
  <si>
    <t>Nirmal Jayasinsha</t>
  </si>
  <si>
    <t>thakshila@alliancefinance.lk</t>
  </si>
  <si>
    <t>20/08/2024</t>
  </si>
  <si>
    <t>25/08/2024</t>
  </si>
  <si>
    <t>1</t>
  </si>
  <si>
    <t>Timestamp</t>
  </si>
  <si>
    <t>Manual Receipt issue Date or Cancelation Date</t>
  </si>
  <si>
    <t>Reason</t>
  </si>
  <si>
    <t>Reason_1</t>
  </si>
  <si>
    <t>Tran ID</t>
  </si>
  <si>
    <t/>
  </si>
  <si>
    <t>Receipt Cancelation</t>
  </si>
  <si>
    <t>ff</t>
  </si>
  <si>
    <t>100037</t>
  </si>
  <si>
    <t>Not update Manual Receipt Number</t>
  </si>
  <si>
    <t>Column I Value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</si>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</sst>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14">
    <dxf>
      <numFmt numFmtId="2" formatCode="0.00"/>
    </dxf>
    <dxf>
      <numFmt numFmtId="19" formatCode="m/d/yyyy"/>
    </dxf>
    <dxf>
      <numFmt numFmtId="27" formatCode="m/d/yyyy\ h:mm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Cancel_Receipt_Update.UpdateTRReceiptMaster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41.829919675925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6FEE11-11E5-4343-9DEE-BE2F474BBF0B}" autoFormatId="16" applyNumberFormats="0" applyBorderFormats="0" applyFontFormats="0" applyPatternFormats="0" applyAlignmentFormats="0" applyWidthHeightFormats="0">
  <queryTableRefresh nextId="11">
    <queryTableFields count="10">
      <queryTableField id="1" name="1" tableColumnId="1"/>
      <queryTableField id="2" name="Timestamp" tableColumnId="2"/>
      <queryTableField id="3" name="Manual Receipt Number" tableColumnId="3"/>
      <queryTableField id="4" name="Manual Receipt issue Date or Cancelation Date" tableColumnId="4"/>
      <queryTableField id="5" name="Reason" tableColumnId="5"/>
      <queryTableField id="6" name="Reason_1" tableColumnId="6"/>
      <queryTableField id="7" name="Tran ID" tableColumnId="7"/>
      <queryTableField id="8" name="Tran Date" tableColumnId="8"/>
      <queryTableField id="9" name="Value Date" tableColumnId="9"/>
      <queryTableField id="10" name="CIF_ID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7" totalsRowShown="0">
  <autoFilter ref="A1:H37" xr:uid="{DD370579-162E-4E72-AD9A-A71203FC4B2C}"/>
  <tableColumns count="8">
    <tableColumn id="1" xr3:uid="{B70C2DC1-FF9A-46BA-9A64-E67CD732E804}" name="Tran id"/>
    <tableColumn id="2" xr3:uid="{A34C063A-EFB7-4F8B-BE27-199159218FAB}" name="Tran Date" dataDxfId="13"/>
    <tableColumn id="3" xr3:uid="{C3D89411-2293-46B7-AEBA-59B43043B8ED}" name="Value Date" dataDxfId="12"/>
    <tableColumn id="4" xr3:uid="{503A2CBC-AEE7-437E-9DC2-12CF8499F29B}" name="Rcre time" dataDxfId="11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10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2399E9-749F-4F2C-9B99-7F39C520FE43}" name="Table_1" displayName="Table_1" ref="A1:J4" tableType="queryTable" totalsRowShown="0">
  <autoFilter ref="A1:J4" xr:uid="{BC2399E9-749F-4F2C-9B99-7F39C520FE43}"/>
  <tableColumns count="10">
    <tableColumn id="1" xr3:uid="{D8E50762-2C25-4DAE-A290-4F5F2FAAE90C}" uniqueName="1" name="1" queryTableFieldId="1"/>
    <tableColumn id="2" xr3:uid="{1C9DBA82-37B8-4F50-A6FD-0F5064D44F44}" uniqueName="2" name="Timestamp" queryTableFieldId="2" dataDxfId="2"/>
    <tableColumn id="3" xr3:uid="{2B56CD9E-D435-4198-9342-C06A7D08EBBA}" uniqueName="3" name="Manual Receipt Number" queryTableFieldId="3" dataDxfId="0"/>
    <tableColumn id="4" xr3:uid="{B62524FB-3F05-43DD-8CAD-3C031006FD34}" uniqueName="4" name="Manual Receipt issue Date or Cancelation Date" queryTableFieldId="4" dataDxfId="1"/>
    <tableColumn id="5" xr3:uid="{23FEEF69-2031-46B0-9D88-E2C1CDF5542F}" uniqueName="5" name="Reason" queryTableFieldId="5" dataDxfId="7"/>
    <tableColumn id="6" xr3:uid="{C0C68463-6D79-4A0F-B2A4-1AB51272310B}" uniqueName="6" name="Reason_1" queryTableFieldId="6" dataDxfId="6"/>
    <tableColumn id="7" xr3:uid="{CC67B19E-8687-4B4B-9487-83AA3BF5230D}" uniqueName="7" name="Tran ID" queryTableFieldId="7"/>
    <tableColumn id="8" xr3:uid="{36EAFD46-B763-42D3-9403-B737C7A4AB59}" uniqueName="8" name="Tran Date" queryTableFieldId="8" dataDxfId="5"/>
    <tableColumn id="9" xr3:uid="{3277D265-1506-4510-BCB0-6A8E1AE9B7E5}" uniqueName="9" name="Value Date" queryTableFieldId="9" dataDxfId="4"/>
    <tableColumn id="10" xr3:uid="{14F1AA2F-AB69-404C-9658-0243C4421BDB}" uniqueName="10" name="CIF_ID" queryTableFieldId="10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8" totalsRowShown="0">
  <autoFilter ref="A1:I8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9">
      <calculatedColumnFormula>+_xlfn.IFNA(VLOOKUP(TR_Master[[#This Row],[Request Emp]],Emp_Master[],2,0),"")</calculatedColumnFormula>
    </tableColumn>
    <tableColumn id="9" xr3:uid="{B26C269B-5C4B-4BDE-93ED-1B8F9359CC09}" name="Branch" dataDxfId="8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5" totalsRowShown="0">
  <autoFilter ref="A1:E15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workbookViewId="0">
      <selection activeCell="E20" sqref="E20"/>
    </sheetView>
  </sheetViews>
  <sheetFormatPr defaultRowHeight="14.4" x14ac:dyDescent="0.3"/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9" x14ac:dyDescent="0.3">
      <c r="A7" s="10">
        <v>3800</v>
      </c>
      <c r="B7" s="10" t="s">
        <v>172</v>
      </c>
      <c r="C7" s="10">
        <v>200000</v>
      </c>
      <c r="D7" s="10">
        <v>1500001</v>
      </c>
      <c r="E7" s="10">
        <v>1500051</v>
      </c>
      <c r="F7" s="10"/>
      <c r="G7" s="10"/>
      <c r="H7" s="10" t="s">
        <v>162</v>
      </c>
      <c r="I7" s="10" t="s">
        <v>46</v>
      </c>
      <c r="J7" s="10"/>
      <c r="K7" s="10"/>
      <c r="L7" s="10"/>
    </row>
    <row r="8" spans="1:19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9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9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9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9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9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9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9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9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J23" sqref="J23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29</v>
      </c>
      <c r="B3" t="s">
        <v>38</v>
      </c>
    </row>
    <row r="4" spans="1:2" x14ac:dyDescent="0.3">
      <c r="A4" s="9">
        <v>1</v>
      </c>
      <c r="B4">
        <v>100049</v>
      </c>
    </row>
    <row r="5" spans="1:2" x14ac:dyDescent="0.3">
      <c r="A5" s="9">
        <v>2</v>
      </c>
      <c r="B5">
        <v>100101</v>
      </c>
    </row>
    <row r="6" spans="1:2" x14ac:dyDescent="0.3">
      <c r="A6" s="9" t="s">
        <v>37</v>
      </c>
      <c r="B6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29</v>
      </c>
      <c r="B3" t="s">
        <v>39</v>
      </c>
    </row>
    <row r="4" spans="1:2" x14ac:dyDescent="0.3">
      <c r="A4" s="9">
        <v>1</v>
      </c>
      <c r="B4">
        <v>33</v>
      </c>
    </row>
    <row r="5" spans="1:2" x14ac:dyDescent="0.3">
      <c r="A5" s="9">
        <v>2</v>
      </c>
      <c r="B5">
        <v>1</v>
      </c>
    </row>
    <row r="6" spans="1:2" x14ac:dyDescent="0.3">
      <c r="A6" s="9" t="s">
        <v>37</v>
      </c>
      <c r="B6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topLeftCell="A13" workbookViewId="0">
      <selection activeCell="E48" sqref="E48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A36">
        <v>125</v>
      </c>
      <c r="B36" s="2">
        <v>45543</v>
      </c>
      <c r="C36" s="2">
        <v>45543</v>
      </c>
      <c r="D36" s="3" t="s">
        <v>181</v>
      </c>
      <c r="F36">
        <v>100037</v>
      </c>
      <c r="G36" s="2">
        <v>45543</v>
      </c>
      <c r="H36">
        <f>INDEX(TR_Master[TR_Book_Number],MATCH(LOOKUP(F36,TR_Master[Open_Serial],TR_Master[Close_Serial]),TR_Master[Open_Serial],1))</f>
        <v>1</v>
      </c>
    </row>
    <row r="37" spans="1:8" x14ac:dyDescent="0.3">
      <c r="A37">
        <v>125</v>
      </c>
      <c r="B37" s="2">
        <v>45543</v>
      </c>
      <c r="C37" s="2">
        <v>45543</v>
      </c>
      <c r="D37" s="3" t="s">
        <v>181</v>
      </c>
      <c r="F37">
        <v>100038</v>
      </c>
      <c r="G37" s="2">
        <v>45543</v>
      </c>
      <c r="H37">
        <f>INDEX(TR_Master[TR_Book_Number],MATCH(LOOKUP(F37,TR_Master[Open_Serial],TR_Master[Close_Serial]),TR_Master[Open_Serial],1))</f>
        <v>1</v>
      </c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343D-60E8-4D06-A762-7DF723F23D59}">
  <sheetPr codeName="Sheet9"/>
  <dimension ref="A1:J4"/>
  <sheetViews>
    <sheetView workbookViewId="0">
      <selection activeCell="C10" sqref="C10"/>
    </sheetView>
  </sheetViews>
  <sheetFormatPr defaultRowHeight="14.4" x14ac:dyDescent="0.3"/>
  <cols>
    <col min="1" max="1" width="4.21875" bestFit="1" customWidth="1"/>
    <col min="2" max="2" width="12.5546875" bestFit="1" customWidth="1"/>
    <col min="3" max="3" width="24" style="13" bestFit="1" customWidth="1"/>
    <col min="4" max="4" width="42.88671875" bestFit="1" customWidth="1"/>
    <col min="5" max="5" width="30.88671875" bestFit="1" customWidth="1"/>
    <col min="6" max="6" width="11.33203125" bestFit="1" customWidth="1"/>
    <col min="7" max="7" width="9.21875" bestFit="1" customWidth="1"/>
    <col min="8" max="8" width="11.33203125" bestFit="1" customWidth="1"/>
    <col min="9" max="9" width="12.33203125" bestFit="1" customWidth="1"/>
    <col min="10" max="10" width="8.5546875" bestFit="1" customWidth="1"/>
  </cols>
  <sheetData>
    <row r="1" spans="1:10" x14ac:dyDescent="0.3">
      <c r="A1" t="s">
        <v>173</v>
      </c>
      <c r="B1" t="s">
        <v>174</v>
      </c>
      <c r="C1" s="13" t="s">
        <v>19</v>
      </c>
      <c r="D1" t="s">
        <v>175</v>
      </c>
      <c r="E1" t="s">
        <v>176</v>
      </c>
      <c r="F1" t="s">
        <v>177</v>
      </c>
      <c r="G1" t="s">
        <v>178</v>
      </c>
      <c r="H1" t="s">
        <v>15</v>
      </c>
      <c r="I1" t="s">
        <v>16</v>
      </c>
      <c r="J1" t="s">
        <v>18</v>
      </c>
    </row>
    <row r="2" spans="1:10" x14ac:dyDescent="0.3">
      <c r="A2">
        <v>3</v>
      </c>
      <c r="B2" s="3">
        <v>45543.298055555555</v>
      </c>
      <c r="C2">
        <v>100032</v>
      </c>
      <c r="D2" s="2">
        <v>45543</v>
      </c>
      <c r="E2" s="12" t="s">
        <v>180</v>
      </c>
      <c r="F2" s="12" t="s">
        <v>181</v>
      </c>
      <c r="H2" s="2"/>
      <c r="I2" s="2"/>
      <c r="J2" s="12" t="s">
        <v>179</v>
      </c>
    </row>
    <row r="3" spans="1:10" x14ac:dyDescent="0.3">
      <c r="A3">
        <v>4</v>
      </c>
      <c r="B3" s="3">
        <v>45543.298483796294</v>
      </c>
      <c r="C3" s="13" t="s">
        <v>182</v>
      </c>
      <c r="D3" s="2">
        <v>45543</v>
      </c>
      <c r="E3" s="12" t="s">
        <v>183</v>
      </c>
      <c r="F3" s="12" t="s">
        <v>179</v>
      </c>
      <c r="G3">
        <v>125</v>
      </c>
      <c r="H3" s="2">
        <v>45543</v>
      </c>
      <c r="I3" s="2">
        <v>45543</v>
      </c>
      <c r="J3" s="12" t="s">
        <v>181</v>
      </c>
    </row>
    <row r="4" spans="1:10" x14ac:dyDescent="0.3">
      <c r="A4">
        <v>4</v>
      </c>
      <c r="B4" s="3">
        <v>45543.298483796294</v>
      </c>
      <c r="C4" s="13">
        <v>100038</v>
      </c>
      <c r="D4" s="2">
        <v>45543</v>
      </c>
      <c r="E4" s="12" t="s">
        <v>183</v>
      </c>
      <c r="F4" s="12" t="s">
        <v>179</v>
      </c>
      <c r="G4">
        <v>125</v>
      </c>
      <c r="H4" s="2">
        <v>45543</v>
      </c>
      <c r="I4" s="2">
        <v>45543</v>
      </c>
      <c r="J4" s="12" t="s">
        <v>181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18D6B-0CF5-4A4C-8F0A-E631F764B3D6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8"/>
  <sheetViews>
    <sheetView workbookViewId="0">
      <selection activeCell="I2" sqref="I2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  <row r="6" spans="1:9" x14ac:dyDescent="0.3">
      <c r="A6">
        <v>3800</v>
      </c>
      <c r="B6" t="s">
        <v>171</v>
      </c>
      <c r="C6">
        <v>52520</v>
      </c>
      <c r="D6">
        <v>125000</v>
      </c>
      <c r="E6">
        <v>252222</v>
      </c>
      <c r="H6" t="str">
        <f>+_xlfn.IFNA(VLOOKUP(TR_Master[[#This Row],[Request Emp]],Emp_Master[],2,0),"")</f>
        <v>Chathuranga Dabare</v>
      </c>
      <c r="I6" t="str">
        <f>+_xlfn.IFNA(VLOOKUP(TR_Master[[#This Row],[Request Emp]],Emp_Master[],3,0),"")</f>
        <v>Ratnapura-003</v>
      </c>
    </row>
    <row r="7" spans="1:9" x14ac:dyDescent="0.3">
      <c r="A7">
        <v>3800</v>
      </c>
      <c r="B7" t="s">
        <v>172</v>
      </c>
      <c r="C7">
        <v>2502580</v>
      </c>
      <c r="D7">
        <v>1000000</v>
      </c>
      <c r="E7">
        <v>5</v>
      </c>
      <c r="H7" t="str">
        <f>+_xlfn.IFNA(VLOOKUP(TR_Master[[#This Row],[Request Emp]],Emp_Master[],2,0),"")</f>
        <v>Chathuranga Dabare</v>
      </c>
      <c r="I7" t="str">
        <f>+_xlfn.IFNA(VLOOKUP(TR_Master[[#This Row],[Request Emp]],Emp_Master[],3,0),"")</f>
        <v>Ratnapura-003</v>
      </c>
    </row>
    <row r="8" spans="1:9" x14ac:dyDescent="0.3">
      <c r="A8">
        <v>3800</v>
      </c>
      <c r="B8" t="s">
        <v>172</v>
      </c>
      <c r="C8">
        <v>200000</v>
      </c>
      <c r="D8">
        <v>1500001</v>
      </c>
      <c r="E8">
        <v>1500051</v>
      </c>
      <c r="H8" t="str">
        <f>+_xlfn.IFNA(VLOOKUP(TR_Master[[#This Row],[Request Emp]],Emp_Master[],2,0),"")</f>
        <v>Chathuranga Dabare</v>
      </c>
      <c r="I8" t="str">
        <f>+_xlfn.IFNA(VLOOKUP(TR_Master[[#This Row],[Request Emp]],Emp_Master[],3,0),"")</f>
        <v>Ratnapura-003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E62B-40C7-4F05-ACC3-A896E68936F8}">
  <sheetPr codeName="Sheet11"/>
  <dimension ref="B1:C3"/>
  <sheetViews>
    <sheetView tabSelected="1" workbookViewId="0"/>
  </sheetViews>
  <sheetFormatPr defaultRowHeight="14.4" x14ac:dyDescent="0.3"/>
  <cols>
    <col min="1" max="1" width="15.44140625" customWidth="1"/>
    <col min="2" max="2" width="14.21875" customWidth="1"/>
  </cols>
  <sheetData>
    <row r="1" spans="2:3" x14ac:dyDescent="0.3">
      <c r="B1" t="s">
        <v>184</v>
      </c>
      <c r="C1" t="s">
        <v>185</v>
      </c>
    </row>
    <row r="2" spans="2:3" x14ac:dyDescent="0.3">
      <c r="B2" t="s">
        <v>1</v>
      </c>
      <c r="C2">
        <v>1</v>
      </c>
    </row>
    <row r="3" spans="2:3" x14ac:dyDescent="0.3">
      <c r="B3" t="s">
        <v>26</v>
      </c>
      <c r="C3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5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  <row r="15" spans="1:5" x14ac:dyDescent="0.3">
      <c r="A15">
        <v>4528</v>
      </c>
      <c r="B15" t="s">
        <v>169</v>
      </c>
      <c r="C15" t="s">
        <v>46</v>
      </c>
      <c r="D15" t="s">
        <v>150</v>
      </c>
      <c r="E15" t="s">
        <v>170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630A7-C123-44AA-ADB7-001B325112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Enum</vt:lpstr>
      <vt:lpstr>Sheet1</vt:lpstr>
      <vt:lpstr>TR_SU1</vt:lpstr>
      <vt:lpstr>TR_SU2</vt:lpstr>
      <vt:lpstr>TR_Receipt_Master</vt:lpstr>
      <vt:lpstr>Cancel_Master</vt:lpstr>
      <vt:lpstr>Sheet2</vt:lpstr>
      <vt:lpstr>TR_Master</vt:lpstr>
      <vt:lpstr>TR_Report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2024-09-11T03:11:32Z</dcterms:modified>
</cp:coreProperties>
</file>