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2F000645-FD7A-413A-B058-70D7329AA87C}" xr6:coauthVersionLast="47" xr6:coauthVersionMax="47" xr10:uidLastSave="{00000000-0000-0000-0000-000000000000}"/>
  <bookViews>
    <workbookView xWindow="-108" yWindow="-108" windowWidth="23256" windowHeight="12456" activeTab="1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TR_Master" sheetId="4" r:id="rId6"/>
    <sheet name="Emp_Master" sheetId="2" r:id="rId7"/>
  </sheets>
  <calcPr calcId="191029"/>
  <pivotCaches>
    <pivotCache cacheId="1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4" l="1"/>
  <c r="I8" i="4"/>
  <c r="H7" i="4"/>
  <c r="I7" i="4"/>
  <c r="H6" i="4"/>
  <c r="I6" i="4"/>
  <c r="I2" i="4"/>
  <c r="I3" i="4"/>
  <c r="I4" i="4"/>
  <c r="I5" i="4"/>
  <c r="H2" i="4"/>
  <c r="H3" i="4"/>
  <c r="H4" i="4"/>
  <c r="H5" i="4"/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sharedStrings.xml><?xml version="1.0" encoding="utf-8"?>
<sst xmlns="http://schemas.openxmlformats.org/spreadsheetml/2006/main" count="265" uniqueCount="173">
  <si>
    <t>Branch_Code_Name</t>
  </si>
  <si>
    <t>Colombo-08</t>
  </si>
  <si>
    <t>Colombo-09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</si>
  <si>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</si>
  <si>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</si>
  <si>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</si>
  <si>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</si>
  <si>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</si>
  <si>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</si>
  <si>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</si>
  <si>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</si>
  <si>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</si>
  <si>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</si>
  <si>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</si>
  <si>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</si>
  <si>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</si>
  <si>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</si>
  <si>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</si>
  <si>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</si>
  <si>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</si>
  <si>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</si>
  <si>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</si>
  <si>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</si>
  <si>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</si>
  <si>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</si>
  <si>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</si>
  <si>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</si>
  <si>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</si>
  <si>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</si>
  <si>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</si>
  <si>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</si>
  <si>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</si>
  <si>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</si>
  <si>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</si>
  <si>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</si>
  <si>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</si>
  <si>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</si>
  <si>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</si>
  <si>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</si>
  <si>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</si>
  <si>
    <t>Kushan</t>
  </si>
  <si>
    <t>Namal</t>
  </si>
  <si>
    <t>Statues</t>
  </si>
  <si>
    <t>Close Date</t>
  </si>
  <si>
    <t>Close</t>
  </si>
  <si>
    <t>Gampaha-002</t>
  </si>
  <si>
    <t>Ratnapura-003</t>
  </si>
  <si>
    <t>Galle-004</t>
  </si>
  <si>
    <t>Jaffna-008</t>
  </si>
  <si>
    <t>BorellaBranch-037</t>
  </si>
  <si>
    <t>Recovery Branch 1 -927</t>
  </si>
  <si>
    <t>Recovery Branch 2-932</t>
  </si>
  <si>
    <t>General-901</t>
  </si>
  <si>
    <t>Eazy Drive-902</t>
  </si>
  <si>
    <t>Motor Division-903</t>
  </si>
  <si>
    <t>Auto Sure-904</t>
  </si>
  <si>
    <t>Jaffna 2nd Branch-090</t>
  </si>
  <si>
    <t>Tambuttegama-091</t>
  </si>
  <si>
    <t>Bogawantalawa-092</t>
  </si>
  <si>
    <t>Nugegoda-093</t>
  </si>
  <si>
    <t>Kalmunai-094</t>
  </si>
  <si>
    <t>Palaviya-095</t>
  </si>
  <si>
    <t>Mathugama-096</t>
  </si>
  <si>
    <t>HeadOffice-001</t>
  </si>
  <si>
    <t>Vavuniya-005</t>
  </si>
  <si>
    <t>Trincomalee-006</t>
  </si>
  <si>
    <t>Batticaloa-007</t>
  </si>
  <si>
    <t>Kelaniya-009</t>
  </si>
  <si>
    <t>Horana-010</t>
  </si>
  <si>
    <t>Maharagama-011</t>
  </si>
  <si>
    <t>Ja-Ela-012</t>
  </si>
  <si>
    <t>Kandy-013</t>
  </si>
  <si>
    <t>Matara-014</t>
  </si>
  <si>
    <t>Anuradhapura-015</t>
  </si>
  <si>
    <t>Puttalam-016</t>
  </si>
  <si>
    <t>Kilinochchi-017</t>
  </si>
  <si>
    <t>Chilaw-018</t>
  </si>
  <si>
    <t>Negombo-019</t>
  </si>
  <si>
    <t>Ganemulla-020</t>
  </si>
  <si>
    <t>Kaduruwela-021</t>
  </si>
  <si>
    <t>Ambalanthota-022</t>
  </si>
  <si>
    <t>Kuliyapitiya-023</t>
  </si>
  <si>
    <t>Galewela-024</t>
  </si>
  <si>
    <t>Avissawella-025</t>
  </si>
  <si>
    <t>Kalpitiya-026</t>
  </si>
  <si>
    <t>Kurunegala-027</t>
  </si>
  <si>
    <t>Kadawatha-028</t>
  </si>
  <si>
    <t>Dambulla-029</t>
  </si>
  <si>
    <t>NuwaraEliya-030</t>
  </si>
  <si>
    <t>Hingurakgoda-031</t>
  </si>
  <si>
    <t>Malabe-032</t>
  </si>
  <si>
    <t>Kegalle-033</t>
  </si>
  <si>
    <t>Ampara-034</t>
  </si>
  <si>
    <t>Embilipitiya-035</t>
  </si>
  <si>
    <t>Aluthgama-036</t>
  </si>
  <si>
    <t>Rajagiriya722SuperBranch-038</t>
  </si>
  <si>
    <t>CorporateBranch-039</t>
  </si>
  <si>
    <t>Rajagiriya199-040</t>
  </si>
  <si>
    <t>Akuressa-041</t>
  </si>
  <si>
    <t>Ambalangoda-042</t>
  </si>
  <si>
    <t>Athurugiriya-043</t>
  </si>
  <si>
    <t>Badulla-044</t>
  </si>
  <si>
    <t>Balangoda-045</t>
  </si>
  <si>
    <t>Chankanai-046</t>
  </si>
  <si>
    <t>Chavakachcheri-047</t>
  </si>
  <si>
    <t>Chunnakam-048</t>
  </si>
  <si>
    <t>Dehiattakandiya-049</t>
  </si>
  <si>
    <t>Deniyaya-050</t>
  </si>
  <si>
    <t>Galgamuwa-051</t>
  </si>
  <si>
    <t>Gampola-052</t>
  </si>
  <si>
    <t>Hatton-053</t>
  </si>
  <si>
    <t>Homagama-054</t>
  </si>
  <si>
    <t>Kaduwela-055</t>
  </si>
  <si>
    <t>Vavuniya 2 nd-089</t>
  </si>
  <si>
    <t>Wennappuwa-088</t>
  </si>
  <si>
    <t>Wellawaya-087</t>
  </si>
  <si>
    <t>Welimada-086</t>
  </si>
  <si>
    <t>Udappuwa-085</t>
  </si>
  <si>
    <t>Trincomalee2ndBranch-084</t>
  </si>
  <si>
    <t>Kalutara-056</t>
  </si>
  <si>
    <t>Kaluwanchikudy-057</t>
  </si>
  <si>
    <t>Kiribathgoda-058</t>
  </si>
  <si>
    <t>Kirindiwela-059</t>
  </si>
  <si>
    <t>Kohuwala-060</t>
  </si>
  <si>
    <t>Kurumankadu-061</t>
  </si>
  <si>
    <t>Mahiyanganaya-062</t>
  </si>
  <si>
    <t>Mannar-063</t>
  </si>
  <si>
    <t>Matale-064</t>
  </si>
  <si>
    <t>Medawachchiya-065</t>
  </si>
  <si>
    <t>Monaragala-066</t>
  </si>
  <si>
    <t>Mulankavil-067</t>
  </si>
  <si>
    <t>Nawalapitiya-068</t>
  </si>
  <si>
    <t>Nikaweratiya-069</t>
  </si>
  <si>
    <t>Nittambuwa-070</t>
  </si>
  <si>
    <t>Panadura-071</t>
  </si>
  <si>
    <t>Parakramapura-072</t>
  </si>
  <si>
    <t>Passara-073</t>
  </si>
  <si>
    <t>Piliyandala-074</t>
  </si>
  <si>
    <t>PointPedro-075</t>
  </si>
  <si>
    <t>Pugoda-076</t>
  </si>
  <si>
    <t>Puthukudyirippu-077</t>
  </si>
  <si>
    <t>Puttalam2ndBranch-078</t>
  </si>
  <si>
    <t>Ragala-079</t>
  </si>
  <si>
    <t>Rikillagaskada-080</t>
  </si>
  <si>
    <t>Thalawakele-081</t>
  </si>
  <si>
    <t>Thirunelvely-082</t>
  </si>
  <si>
    <t>Thissamaharama-083</t>
  </si>
  <si>
    <t>Regional-1</t>
  </si>
  <si>
    <t>Regional-2</t>
  </si>
  <si>
    <t>Regional-3</t>
  </si>
  <si>
    <t>Regional-4</t>
  </si>
  <si>
    <t>Regional-5</t>
  </si>
  <si>
    <t>Regional-6</t>
  </si>
  <si>
    <t>Regional-7</t>
  </si>
  <si>
    <t>Regional-8</t>
  </si>
  <si>
    <t>Regional-9</t>
  </si>
  <si>
    <t>Regional-10</t>
  </si>
  <si>
    <t>Regional-11</t>
  </si>
  <si>
    <t>Regional-12</t>
  </si>
  <si>
    <t>Regional-13</t>
  </si>
  <si>
    <t>Regional-14</t>
  </si>
  <si>
    <t>Kushan Chathuranga</t>
  </si>
  <si>
    <t>Chathuranga Dabare</t>
  </si>
  <si>
    <t>malith@alliancefinance.lk</t>
  </si>
  <si>
    <t>Kushn</t>
  </si>
  <si>
    <t>s</t>
  </si>
  <si>
    <t>Kushand@alliancefinance.lk</t>
  </si>
  <si>
    <t>Hasini Perera</t>
  </si>
  <si>
    <t>hasinip@alliancefinance.lk</t>
  </si>
  <si>
    <t>Nirmal Jayasinsha</t>
  </si>
  <si>
    <t>thakshila@alliancefinance.lk</t>
  </si>
  <si>
    <t>20/08/2024</t>
  </si>
  <si>
    <t>25/08/2024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</si>
</sst>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244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2" xfId="0" applyBorder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0022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6</xdr:row>
      <xdr:rowOff>68581</xdr:rowOff>
    </xdr:from>
    <xdr:to>
      <xdr:col>3</xdr:col>
      <xdr:colOff>333375</xdr:colOff>
      <xdr:row>8</xdr:row>
      <xdr:rowOff>53340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323850" y="1165861"/>
          <a:ext cx="1838325" cy="350519"/>
        </a:xfrm>
        <a:prstGeom prst="roundRect">
          <a:avLst/>
        </a:prstGeom>
        <a:solidFill>
          <a:srgbClr val="002244"/>
        </a:solidFill>
        <a:ln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0</xdr:col>
      <xdr:colOff>339091</xdr:colOff>
      <xdr:row>8</xdr:row>
      <xdr:rowOff>41911</xdr:rowOff>
    </xdr:from>
    <xdr:to>
      <xdr:col>3</xdr:col>
      <xdr:colOff>297181</xdr:colOff>
      <xdr:row>10</xdr:row>
      <xdr:rowOff>60961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339091" y="1504951"/>
          <a:ext cx="1786890" cy="38481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0</xdr:col>
      <xdr:colOff>327660</xdr:colOff>
      <xdr:row>10</xdr:row>
      <xdr:rowOff>99060</xdr:rowOff>
    </xdr:from>
    <xdr:to>
      <xdr:col>4</xdr:col>
      <xdr:colOff>114300</xdr:colOff>
      <xdr:row>12</xdr:row>
      <xdr:rowOff>91440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327660" y="1927860"/>
          <a:ext cx="2225040" cy="35814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Daily Master Update</a:t>
          </a:r>
        </a:p>
      </xdr:txBody>
    </xdr:sp>
    <xdr:clientData/>
  </xdr:twoCellAnchor>
  <xdr:twoCellAnchor>
    <xdr:from>
      <xdr:col>0</xdr:col>
      <xdr:colOff>342900</xdr:colOff>
      <xdr:row>12</xdr:row>
      <xdr:rowOff>152400</xdr:rowOff>
    </xdr:from>
    <xdr:to>
      <xdr:col>3</xdr:col>
      <xdr:colOff>259080</xdr:colOff>
      <xdr:row>14</xdr:row>
      <xdr:rowOff>137160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D234E53-A40F-D6DC-FD82-39F5FE83D2DA}"/>
            </a:ext>
          </a:extLst>
        </xdr:cNvPr>
        <xdr:cNvSpPr/>
      </xdr:nvSpPr>
      <xdr:spPr>
        <a:xfrm>
          <a:off x="342900" y="23469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Close Update</a:t>
          </a:r>
          <a:endParaRPr lang="en-US" sz="1100"/>
        </a:p>
      </xdr:txBody>
    </xdr:sp>
    <xdr:clientData/>
  </xdr:twoCellAnchor>
  <xdr:twoCellAnchor editAs="oneCell">
    <xdr:from>
      <xdr:col>0</xdr:col>
      <xdr:colOff>15240</xdr:colOff>
      <xdr:row>0</xdr:row>
      <xdr:rowOff>15241</xdr:rowOff>
    </xdr:from>
    <xdr:to>
      <xdr:col>2</xdr:col>
      <xdr:colOff>15240</xdr:colOff>
      <xdr:row>3</xdr:row>
      <xdr:rowOff>1173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F1985C9-5D17-AA52-C84B-A1F7525A5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15241"/>
          <a:ext cx="1219200" cy="534572"/>
        </a:xfrm>
        <a:prstGeom prst="rect">
          <a:avLst/>
        </a:prstGeom>
      </xdr:spPr>
    </xdr:pic>
    <xdr:clientData/>
  </xdr:twoCellAnchor>
  <xdr:twoCellAnchor>
    <xdr:from>
      <xdr:col>4</xdr:col>
      <xdr:colOff>533400</xdr:colOff>
      <xdr:row>6</xdr:row>
      <xdr:rowOff>68580</xdr:rowOff>
    </xdr:from>
    <xdr:to>
      <xdr:col>7</xdr:col>
      <xdr:colOff>449580</xdr:colOff>
      <xdr:row>8</xdr:row>
      <xdr:rowOff>53340</xdr:rowOff>
    </xdr:to>
    <xdr:sp macro="[0]!TR_Book_wise_Inquir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BF02669-4611-4BCD-B3A2-491F894FD99D}"/>
            </a:ext>
          </a:extLst>
        </xdr:cNvPr>
        <xdr:cNvSpPr/>
      </xdr:nvSpPr>
      <xdr:spPr>
        <a:xfrm>
          <a:off x="2971800" y="11658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Receipt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8</xdr:row>
      <xdr:rowOff>38100</xdr:rowOff>
    </xdr:from>
    <xdr:to>
      <xdr:col>8</xdr:col>
      <xdr:colOff>182880</xdr:colOff>
      <xdr:row>10</xdr:row>
      <xdr:rowOff>22860</xdr:rowOff>
    </xdr:to>
    <xdr:sp macro="[0]!Branch_wise_TR_Inquir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C7ECC1-C334-4114-93DE-7C35D15FC6E1}"/>
            </a:ext>
          </a:extLst>
        </xdr:cNvPr>
        <xdr:cNvSpPr/>
      </xdr:nvSpPr>
      <xdr:spPr>
        <a:xfrm>
          <a:off x="2979420" y="15011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Branch</a:t>
          </a:r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10</xdr:row>
      <xdr:rowOff>83820</xdr:rowOff>
    </xdr:from>
    <xdr:to>
      <xdr:col>8</xdr:col>
      <xdr:colOff>182880</xdr:colOff>
      <xdr:row>12</xdr:row>
      <xdr:rowOff>68580</xdr:rowOff>
    </xdr:to>
    <xdr:sp macro="[0]!Emp_Wise_TR_Inquir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4996839-C626-4054-AC07-B48D5DF8CE88}"/>
            </a:ext>
          </a:extLst>
        </xdr:cNvPr>
        <xdr:cNvSpPr/>
      </xdr:nvSpPr>
      <xdr:spPr>
        <a:xfrm>
          <a:off x="2979420" y="191262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Emp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0</xdr:col>
      <xdr:colOff>350520</xdr:colOff>
      <xdr:row>14</xdr:row>
      <xdr:rowOff>160020</xdr:rowOff>
    </xdr:from>
    <xdr:to>
      <xdr:col>4</xdr:col>
      <xdr:colOff>38100</xdr:colOff>
      <xdr:row>16</xdr:row>
      <xdr:rowOff>144780</xdr:rowOff>
    </xdr:to>
    <xdr:sp macro="[0]!RectangleRoundedCorners4_Click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AD4352BD-D404-45EB-9AD8-C0A4411D0F5D}"/>
            </a:ext>
          </a:extLst>
        </xdr:cNvPr>
        <xdr:cNvSpPr/>
      </xdr:nvSpPr>
      <xdr:spPr>
        <a:xfrm>
          <a:off x="350520" y="2720340"/>
          <a:ext cx="2125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Receipt Cancelation Update</a:t>
          </a:r>
          <a:endParaRPr lang="en-US" sz="1100"/>
        </a:p>
      </xdr:txBody>
    </xdr:sp>
    <xdr:clientData/>
  </xdr:twoCellAnchor>
  <xdr:twoCellAnchor>
    <xdr:from>
      <xdr:col>8</xdr:col>
      <xdr:colOff>358140</xdr:colOff>
      <xdr:row>6</xdr:row>
      <xdr:rowOff>99060</xdr:rowOff>
    </xdr:from>
    <xdr:to>
      <xdr:col>12</xdr:col>
      <xdr:colOff>0</xdr:colOff>
      <xdr:row>8</xdr:row>
      <xdr:rowOff>83820</xdr:rowOff>
    </xdr:to>
    <xdr:sp macro="[0]!RectangleRoundedCorners4_Click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FCAF2C2-B397-47E3-8DFB-225BF48E4E73}"/>
            </a:ext>
          </a:extLst>
        </xdr:cNvPr>
        <xdr:cNvSpPr/>
      </xdr:nvSpPr>
      <xdr:spPr>
        <a:xfrm>
          <a:off x="5234940" y="11963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Branch</a:t>
          </a:r>
          <a:r>
            <a:rPr lang="en-US" sz="1100" baseline="0"/>
            <a:t> TR Book Stock Report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40.417046064817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5" totalsRowShown="0">
  <autoFilter ref="A1:H35" xr:uid="{DD370579-162E-4E72-AD9A-A71203FC4B2C}"/>
  <tableColumns count="8">
    <tableColumn id="1" xr3:uid="{B70C2DC1-FF9A-46BA-9A64-E67CD732E804}" name="Tran id"/>
    <tableColumn id="2" xr3:uid="{A34C063A-EFB7-4F8B-BE27-199159218FAB}" name="Tran Date" dataDxfId="5"/>
    <tableColumn id="3" xr3:uid="{C3D89411-2293-46B7-AEBA-59B43043B8ED}" name="Value Date" dataDxfId="4"/>
    <tableColumn id="4" xr3:uid="{503A2CBC-AEE7-437E-9DC2-12CF8499F29B}" name="Rcre time" dataDxfId="3"/>
    <tableColumn id="5" xr3:uid="{2F1B5CEF-AE42-40A3-A33C-B237FF24A9B2}" name="CIF_ID"/>
    <tableColumn id="6" xr3:uid="{60F532CF-3782-4650-85ED-DBC26C58BDC2}" name="Manual Receipt Number"/>
    <tableColumn id="7" xr3:uid="{44F6B34C-FA49-4631-AADD-F9B593DCA36A}" name="Manual Receipt Date" dataDxfId="2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I8" totalsRowShown="0">
  <autoFilter ref="A1:I8" xr:uid="{E76301C3-8B91-4C74-A227-27AD749FBDFC}"/>
  <tableColumns count="9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  <tableColumn id="6" xr3:uid="{C97F337D-E34F-4A51-9C62-B19F76E7EF89}" name="Statues"/>
    <tableColumn id="7" xr3:uid="{24FE9054-F57C-4FC6-94BE-A55C7EB59B10}" name="Close Date"/>
    <tableColumn id="8" xr3:uid="{D1510715-5296-44D1-B3E1-573A21D42B06}" name="Name" dataDxfId="1">
      <calculatedColumnFormula>+_xlfn.IFNA(VLOOKUP(TR_Master[[#This Row],[Request Emp]],Emp_Master[],2,0),"")</calculatedColumnFormula>
    </tableColumn>
    <tableColumn id="9" xr3:uid="{B26C269B-5C4B-4BDE-93ED-1B8F9359CC09}" name="Branch" dataDxfId="0">
      <calculatedColumnFormula>+_xlfn.IFNA(VLOOKUP(TR_Master[[#This Row],[Request Emp]],Emp_Master[],3,0),"")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15" totalsRowShown="0">
  <autoFilter ref="A1:E15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G103"/>
  <sheetViews>
    <sheetView workbookViewId="0">
      <selection activeCell="C21" sqref="C21"/>
    </sheetView>
  </sheetViews>
  <sheetFormatPr defaultRowHeight="14.4" x14ac:dyDescent="0.3"/>
  <cols>
    <col min="1" max="1" width="25.109375" customWidth="1"/>
    <col min="2" max="2" width="13.88671875" customWidth="1"/>
  </cols>
  <sheetData>
    <row r="1" spans="1:7" x14ac:dyDescent="0.3">
      <c r="A1" t="s">
        <v>0</v>
      </c>
      <c r="B1" t="s">
        <v>4</v>
      </c>
      <c r="F1" t="s">
        <v>40</v>
      </c>
      <c r="G1" t="s">
        <v>41</v>
      </c>
    </row>
    <row r="2" spans="1:7" x14ac:dyDescent="0.3">
      <c r="A2" t="s">
        <v>63</v>
      </c>
      <c r="B2" t="s">
        <v>147</v>
      </c>
    </row>
    <row r="3" spans="1:7" x14ac:dyDescent="0.3">
      <c r="A3" t="s">
        <v>45</v>
      </c>
      <c r="B3" t="s">
        <v>148</v>
      </c>
    </row>
    <row r="4" spans="1:7" x14ac:dyDescent="0.3">
      <c r="A4" t="s">
        <v>46</v>
      </c>
      <c r="B4" t="s">
        <v>149</v>
      </c>
    </row>
    <row r="5" spans="1:7" x14ac:dyDescent="0.3">
      <c r="A5" t="s">
        <v>47</v>
      </c>
      <c r="B5" t="s">
        <v>150</v>
      </c>
    </row>
    <row r="6" spans="1:7" x14ac:dyDescent="0.3">
      <c r="A6" t="s">
        <v>64</v>
      </c>
      <c r="B6" t="s">
        <v>151</v>
      </c>
    </row>
    <row r="7" spans="1:7" x14ac:dyDescent="0.3">
      <c r="A7" t="s">
        <v>65</v>
      </c>
      <c r="B7" t="s">
        <v>152</v>
      </c>
    </row>
    <row r="8" spans="1:7" x14ac:dyDescent="0.3">
      <c r="A8" t="s">
        <v>66</v>
      </c>
      <c r="B8" t="s">
        <v>153</v>
      </c>
    </row>
    <row r="9" spans="1:7" x14ac:dyDescent="0.3">
      <c r="A9" t="s">
        <v>48</v>
      </c>
      <c r="B9" t="s">
        <v>154</v>
      </c>
    </row>
    <row r="10" spans="1:7" x14ac:dyDescent="0.3">
      <c r="A10" t="s">
        <v>67</v>
      </c>
      <c r="B10" t="s">
        <v>155</v>
      </c>
    </row>
    <row r="11" spans="1:7" x14ac:dyDescent="0.3">
      <c r="A11" t="s">
        <v>68</v>
      </c>
      <c r="B11" t="s">
        <v>156</v>
      </c>
    </row>
    <row r="12" spans="1:7" x14ac:dyDescent="0.3">
      <c r="A12" t="s">
        <v>69</v>
      </c>
      <c r="B12" t="s">
        <v>157</v>
      </c>
    </row>
    <row r="13" spans="1:7" x14ac:dyDescent="0.3">
      <c r="A13" t="s">
        <v>70</v>
      </c>
      <c r="B13" t="s">
        <v>158</v>
      </c>
    </row>
    <row r="14" spans="1:7" x14ac:dyDescent="0.3">
      <c r="A14" t="s">
        <v>71</v>
      </c>
      <c r="B14" t="s">
        <v>159</v>
      </c>
    </row>
    <row r="15" spans="1:7" x14ac:dyDescent="0.3">
      <c r="A15" t="s">
        <v>72</v>
      </c>
      <c r="B15" t="s">
        <v>160</v>
      </c>
    </row>
    <row r="16" spans="1:7" x14ac:dyDescent="0.3">
      <c r="A16" t="s">
        <v>73</v>
      </c>
    </row>
    <row r="17" spans="1:1" x14ac:dyDescent="0.3">
      <c r="A17" t="s">
        <v>74</v>
      </c>
    </row>
    <row r="18" spans="1:1" x14ac:dyDescent="0.3">
      <c r="A18" t="s">
        <v>75</v>
      </c>
    </row>
    <row r="19" spans="1:1" x14ac:dyDescent="0.3">
      <c r="A19" t="s">
        <v>76</v>
      </c>
    </row>
    <row r="20" spans="1:1" x14ac:dyDescent="0.3">
      <c r="A20" t="s">
        <v>77</v>
      </c>
    </row>
    <row r="21" spans="1:1" x14ac:dyDescent="0.3">
      <c r="A21" t="s">
        <v>78</v>
      </c>
    </row>
    <row r="22" spans="1:1" x14ac:dyDescent="0.3">
      <c r="A22" t="s">
        <v>79</v>
      </c>
    </row>
    <row r="23" spans="1:1" x14ac:dyDescent="0.3">
      <c r="A23" t="s">
        <v>80</v>
      </c>
    </row>
    <row r="24" spans="1:1" x14ac:dyDescent="0.3">
      <c r="A24" t="s">
        <v>81</v>
      </c>
    </row>
    <row r="25" spans="1:1" x14ac:dyDescent="0.3">
      <c r="A25" t="s">
        <v>82</v>
      </c>
    </row>
    <row r="26" spans="1:1" x14ac:dyDescent="0.3">
      <c r="A26" t="s">
        <v>83</v>
      </c>
    </row>
    <row r="27" spans="1:1" x14ac:dyDescent="0.3">
      <c r="A27" t="s">
        <v>84</v>
      </c>
    </row>
    <row r="28" spans="1:1" x14ac:dyDescent="0.3">
      <c r="A28" t="s">
        <v>85</v>
      </c>
    </row>
    <row r="29" spans="1:1" x14ac:dyDescent="0.3">
      <c r="A29" t="s">
        <v>86</v>
      </c>
    </row>
    <row r="30" spans="1:1" x14ac:dyDescent="0.3">
      <c r="A30" t="s">
        <v>87</v>
      </c>
    </row>
    <row r="31" spans="1:1" x14ac:dyDescent="0.3">
      <c r="A31" t="s">
        <v>88</v>
      </c>
    </row>
    <row r="32" spans="1:1" x14ac:dyDescent="0.3">
      <c r="A32" t="s">
        <v>89</v>
      </c>
    </row>
    <row r="33" spans="1:1" x14ac:dyDescent="0.3">
      <c r="A33" t="s">
        <v>90</v>
      </c>
    </row>
    <row r="34" spans="1:1" x14ac:dyDescent="0.3">
      <c r="A34" t="s">
        <v>91</v>
      </c>
    </row>
    <row r="35" spans="1:1" x14ac:dyDescent="0.3">
      <c r="A35" t="s">
        <v>92</v>
      </c>
    </row>
    <row r="36" spans="1:1" x14ac:dyDescent="0.3">
      <c r="A36" t="s">
        <v>93</v>
      </c>
    </row>
    <row r="37" spans="1:1" x14ac:dyDescent="0.3">
      <c r="A37" t="s">
        <v>94</v>
      </c>
    </row>
    <row r="38" spans="1:1" x14ac:dyDescent="0.3">
      <c r="A38" t="s">
        <v>49</v>
      </c>
    </row>
    <row r="39" spans="1:1" x14ac:dyDescent="0.3">
      <c r="A39" t="s">
        <v>95</v>
      </c>
    </row>
    <row r="40" spans="1:1" x14ac:dyDescent="0.3">
      <c r="A40" t="s">
        <v>96</v>
      </c>
    </row>
    <row r="41" spans="1:1" x14ac:dyDescent="0.3">
      <c r="A41" t="s">
        <v>97</v>
      </c>
    </row>
    <row r="42" spans="1:1" x14ac:dyDescent="0.3">
      <c r="A42" t="s">
        <v>98</v>
      </c>
    </row>
    <row r="43" spans="1:1" x14ac:dyDescent="0.3">
      <c r="A43" t="s">
        <v>99</v>
      </c>
    </row>
    <row r="44" spans="1:1" x14ac:dyDescent="0.3">
      <c r="A44" t="s">
        <v>100</v>
      </c>
    </row>
    <row r="45" spans="1:1" x14ac:dyDescent="0.3">
      <c r="A45" t="s">
        <v>101</v>
      </c>
    </row>
    <row r="46" spans="1:1" x14ac:dyDescent="0.3">
      <c r="A46" t="s">
        <v>102</v>
      </c>
    </row>
    <row r="47" spans="1:1" x14ac:dyDescent="0.3">
      <c r="A47" t="s">
        <v>103</v>
      </c>
    </row>
    <row r="48" spans="1:1" x14ac:dyDescent="0.3">
      <c r="A48" t="s">
        <v>104</v>
      </c>
    </row>
    <row r="49" spans="1:1" x14ac:dyDescent="0.3">
      <c r="A49" t="s">
        <v>105</v>
      </c>
    </row>
    <row r="50" spans="1:1" x14ac:dyDescent="0.3">
      <c r="A50" t="s">
        <v>106</v>
      </c>
    </row>
    <row r="51" spans="1:1" x14ac:dyDescent="0.3">
      <c r="A51" t="s">
        <v>107</v>
      </c>
    </row>
    <row r="52" spans="1:1" x14ac:dyDescent="0.3">
      <c r="A52" t="s">
        <v>108</v>
      </c>
    </row>
    <row r="53" spans="1:1" x14ac:dyDescent="0.3">
      <c r="A53" t="s">
        <v>109</v>
      </c>
    </row>
    <row r="54" spans="1:1" x14ac:dyDescent="0.3">
      <c r="A54" t="s">
        <v>110</v>
      </c>
    </row>
    <row r="55" spans="1:1" x14ac:dyDescent="0.3">
      <c r="A55" t="s">
        <v>111</v>
      </c>
    </row>
    <row r="56" spans="1:1" x14ac:dyDescent="0.3">
      <c r="A56" t="s">
        <v>112</v>
      </c>
    </row>
    <row r="57" spans="1:1" x14ac:dyDescent="0.3">
      <c r="A57" t="s">
        <v>119</v>
      </c>
    </row>
    <row r="58" spans="1:1" x14ac:dyDescent="0.3">
      <c r="A58" t="s">
        <v>120</v>
      </c>
    </row>
    <row r="59" spans="1:1" x14ac:dyDescent="0.3">
      <c r="A59" t="s">
        <v>121</v>
      </c>
    </row>
    <row r="60" spans="1:1" x14ac:dyDescent="0.3">
      <c r="A60" t="s">
        <v>122</v>
      </c>
    </row>
    <row r="61" spans="1:1" x14ac:dyDescent="0.3">
      <c r="A61" t="s">
        <v>123</v>
      </c>
    </row>
    <row r="62" spans="1:1" x14ac:dyDescent="0.3">
      <c r="A62" t="s">
        <v>124</v>
      </c>
    </row>
    <row r="63" spans="1:1" x14ac:dyDescent="0.3">
      <c r="A63" t="s">
        <v>125</v>
      </c>
    </row>
    <row r="64" spans="1:1" x14ac:dyDescent="0.3">
      <c r="A64" t="s">
        <v>126</v>
      </c>
    </row>
    <row r="65" spans="1:1" x14ac:dyDescent="0.3">
      <c r="A65" t="s">
        <v>127</v>
      </c>
    </row>
    <row r="66" spans="1:1" x14ac:dyDescent="0.3">
      <c r="A66" t="s">
        <v>128</v>
      </c>
    </row>
    <row r="67" spans="1:1" x14ac:dyDescent="0.3">
      <c r="A67" t="s">
        <v>129</v>
      </c>
    </row>
    <row r="68" spans="1:1" x14ac:dyDescent="0.3">
      <c r="A68" t="s">
        <v>130</v>
      </c>
    </row>
    <row r="69" spans="1:1" x14ac:dyDescent="0.3">
      <c r="A69" t="s">
        <v>131</v>
      </c>
    </row>
    <row r="70" spans="1:1" x14ac:dyDescent="0.3">
      <c r="A70" t="s">
        <v>132</v>
      </c>
    </row>
    <row r="71" spans="1:1" x14ac:dyDescent="0.3">
      <c r="A71" t="s">
        <v>133</v>
      </c>
    </row>
    <row r="72" spans="1:1" x14ac:dyDescent="0.3">
      <c r="A72" t="s">
        <v>134</v>
      </c>
    </row>
    <row r="73" spans="1:1" x14ac:dyDescent="0.3">
      <c r="A73" t="s">
        <v>135</v>
      </c>
    </row>
    <row r="74" spans="1:1" x14ac:dyDescent="0.3">
      <c r="A74" t="s">
        <v>136</v>
      </c>
    </row>
    <row r="75" spans="1:1" x14ac:dyDescent="0.3">
      <c r="A75" t="s">
        <v>137</v>
      </c>
    </row>
    <row r="76" spans="1:1" x14ac:dyDescent="0.3">
      <c r="A76" t="s">
        <v>138</v>
      </c>
    </row>
    <row r="77" spans="1:1" x14ac:dyDescent="0.3">
      <c r="A77" t="s">
        <v>139</v>
      </c>
    </row>
    <row r="78" spans="1:1" x14ac:dyDescent="0.3">
      <c r="A78" t="s">
        <v>140</v>
      </c>
    </row>
    <row r="79" spans="1:1" x14ac:dyDescent="0.3">
      <c r="A79" t="s">
        <v>141</v>
      </c>
    </row>
    <row r="80" spans="1:1" x14ac:dyDescent="0.3">
      <c r="A80" t="s">
        <v>142</v>
      </c>
    </row>
    <row r="81" spans="1:1" x14ac:dyDescent="0.3">
      <c r="A81" t="s">
        <v>143</v>
      </c>
    </row>
    <row r="82" spans="1:1" x14ac:dyDescent="0.3">
      <c r="A82" t="s">
        <v>144</v>
      </c>
    </row>
    <row r="83" spans="1:1" x14ac:dyDescent="0.3">
      <c r="A83" t="s">
        <v>145</v>
      </c>
    </row>
    <row r="84" spans="1:1" x14ac:dyDescent="0.3">
      <c r="A84" t="s">
        <v>146</v>
      </c>
    </row>
    <row r="85" spans="1:1" x14ac:dyDescent="0.3">
      <c r="A85" t="s">
        <v>118</v>
      </c>
    </row>
    <row r="86" spans="1:1" x14ac:dyDescent="0.3">
      <c r="A86" t="s">
        <v>117</v>
      </c>
    </row>
    <row r="87" spans="1:1" x14ac:dyDescent="0.3">
      <c r="A87" t="s">
        <v>116</v>
      </c>
    </row>
    <row r="88" spans="1:1" x14ac:dyDescent="0.3">
      <c r="A88" t="s">
        <v>115</v>
      </c>
    </row>
    <row r="89" spans="1:1" x14ac:dyDescent="0.3">
      <c r="A89" t="s">
        <v>114</v>
      </c>
    </row>
    <row r="90" spans="1:1" x14ac:dyDescent="0.3">
      <c r="A90" t="s">
        <v>113</v>
      </c>
    </row>
    <row r="91" spans="1:1" x14ac:dyDescent="0.3">
      <c r="A91" t="s">
        <v>50</v>
      </c>
    </row>
    <row r="92" spans="1:1" x14ac:dyDescent="0.3">
      <c r="A92" t="s">
        <v>51</v>
      </c>
    </row>
    <row r="93" spans="1:1" x14ac:dyDescent="0.3">
      <c r="A93" t="s">
        <v>52</v>
      </c>
    </row>
    <row r="94" spans="1:1" x14ac:dyDescent="0.3">
      <c r="A94" t="s">
        <v>53</v>
      </c>
    </row>
    <row r="95" spans="1:1" x14ac:dyDescent="0.3">
      <c r="A95" t="s">
        <v>54</v>
      </c>
    </row>
    <row r="96" spans="1:1" x14ac:dyDescent="0.3">
      <c r="A96" t="s">
        <v>55</v>
      </c>
    </row>
    <row r="97" spans="1:1" x14ac:dyDescent="0.3">
      <c r="A97" t="s">
        <v>56</v>
      </c>
    </row>
    <row r="98" spans="1:1" x14ac:dyDescent="0.3">
      <c r="A98" t="s">
        <v>57</v>
      </c>
    </row>
    <row r="99" spans="1:1" x14ac:dyDescent="0.3">
      <c r="A99" t="s">
        <v>58</v>
      </c>
    </row>
    <row r="100" spans="1:1" x14ac:dyDescent="0.3">
      <c r="A100" t="s">
        <v>59</v>
      </c>
    </row>
    <row r="101" spans="1:1" x14ac:dyDescent="0.3">
      <c r="A101" t="s">
        <v>60</v>
      </c>
    </row>
    <row r="102" spans="1:1" x14ac:dyDescent="0.3">
      <c r="A102" t="s">
        <v>61</v>
      </c>
    </row>
    <row r="103" spans="1:1" x14ac:dyDescent="0.3">
      <c r="A103" t="s">
        <v>62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A1:S29"/>
  <sheetViews>
    <sheetView tabSelected="1" workbookViewId="0">
      <selection activeCell="O15" sqref="O15"/>
    </sheetView>
  </sheetViews>
  <sheetFormatPr defaultRowHeight="14.4" x14ac:dyDescent="0.3"/>
  <sheetData>
    <row r="1" spans="1:19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9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9" x14ac:dyDescent="0.3">
      <c r="A7" s="10">
        <v>3800</v>
      </c>
      <c r="B7" s="10" t="s">
        <v>172</v>
      </c>
      <c r="C7" s="10">
        <v>200000</v>
      </c>
      <c r="D7" s="10">
        <v>1500001</v>
      </c>
      <c r="E7" s="10">
        <v>1500051</v>
      </c>
      <c r="F7" s="10"/>
      <c r="G7" s="10"/>
      <c r="H7" s="10" t="s">
        <v>162</v>
      </c>
      <c r="I7" s="10" t="s">
        <v>46</v>
      </c>
      <c r="J7" s="10"/>
      <c r="K7" s="10"/>
      <c r="L7" s="10"/>
    </row>
    <row r="8" spans="1:19" x14ac:dyDescent="0.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9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1:19" x14ac:dyDescent="0.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1:19" x14ac:dyDescent="0.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9" x14ac:dyDescent="0.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9" x14ac:dyDescent="0.3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9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19" x14ac:dyDescent="0.3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9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3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3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3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A7" sqref="A7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8" t="s">
        <v>29</v>
      </c>
      <c r="B3" t="s">
        <v>38</v>
      </c>
    </row>
    <row r="4" spans="1:2" x14ac:dyDescent="0.3">
      <c r="A4" s="9">
        <v>1</v>
      </c>
      <c r="B4" s="12">
        <v>100049</v>
      </c>
    </row>
    <row r="5" spans="1:2" x14ac:dyDescent="0.3">
      <c r="A5" s="9">
        <v>2</v>
      </c>
      <c r="B5" s="12">
        <v>100101</v>
      </c>
    </row>
    <row r="6" spans="1:2" x14ac:dyDescent="0.3">
      <c r="A6" s="9" t="s">
        <v>37</v>
      </c>
      <c r="B6" s="12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8" t="s">
        <v>29</v>
      </c>
      <c r="B3" t="s">
        <v>39</v>
      </c>
    </row>
    <row r="4" spans="1:2" x14ac:dyDescent="0.3">
      <c r="A4" s="9">
        <v>1</v>
      </c>
      <c r="B4" s="12">
        <v>33</v>
      </c>
    </row>
    <row r="5" spans="1:2" x14ac:dyDescent="0.3">
      <c r="A5" s="9">
        <v>2</v>
      </c>
      <c r="B5" s="12">
        <v>1</v>
      </c>
    </row>
    <row r="6" spans="1:2" x14ac:dyDescent="0.3">
      <c r="A6" s="9" t="s">
        <v>37</v>
      </c>
      <c r="B6" s="12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workbookViewId="0">
      <selection activeCell="G1" sqref="G1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s="1" t="s">
        <v>19</v>
      </c>
      <c r="G1" t="s">
        <v>20</v>
      </c>
      <c r="H1" t="s">
        <v>29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21</v>
      </c>
      <c r="F2" s="6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21</v>
      </c>
      <c r="F3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21</v>
      </c>
      <c r="F4" s="5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21</v>
      </c>
      <c r="F5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21</v>
      </c>
      <c r="F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21</v>
      </c>
      <c r="F7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21</v>
      </c>
      <c r="F8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21</v>
      </c>
      <c r="F9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21</v>
      </c>
      <c r="F10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21</v>
      </c>
      <c r="F11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21</v>
      </c>
      <c r="F12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21</v>
      </c>
      <c r="F13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21</v>
      </c>
      <c r="F14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21</v>
      </c>
      <c r="F15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21</v>
      </c>
      <c r="F1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21</v>
      </c>
      <c r="F17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21</v>
      </c>
      <c r="F18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21</v>
      </c>
      <c r="F19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21</v>
      </c>
      <c r="F20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21</v>
      </c>
      <c r="F21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21</v>
      </c>
      <c r="F22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21</v>
      </c>
      <c r="F23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22</v>
      </c>
      <c r="F24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23</v>
      </c>
      <c r="F25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22</v>
      </c>
      <c r="F2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21</v>
      </c>
      <c r="F27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24</v>
      </c>
      <c r="F28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24</v>
      </c>
      <c r="F29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21</v>
      </c>
      <c r="F30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21</v>
      </c>
      <c r="F31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21</v>
      </c>
      <c r="F32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21</v>
      </c>
      <c r="F33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21</v>
      </c>
      <c r="F34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24</v>
      </c>
      <c r="F35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B36" s="2"/>
      <c r="C36" s="2"/>
      <c r="D36" s="3"/>
      <c r="G36" s="2"/>
    </row>
    <row r="37" spans="1:8" x14ac:dyDescent="0.3">
      <c r="B37" s="2"/>
      <c r="C37" s="2"/>
      <c r="D37" s="3"/>
      <c r="G37" s="2"/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I8"/>
  <sheetViews>
    <sheetView workbookViewId="0">
      <selection activeCell="I2" sqref="I2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  <col min="7" max="7" width="11.33203125" customWidth="1"/>
  </cols>
  <sheetData>
    <row r="1" spans="1:9" x14ac:dyDescent="0.3">
      <c r="A1" t="s">
        <v>28</v>
      </c>
      <c r="B1" t="s">
        <v>30</v>
      </c>
      <c r="C1" t="s">
        <v>29</v>
      </c>
      <c r="D1" t="s">
        <v>31</v>
      </c>
      <c r="E1" t="s">
        <v>32</v>
      </c>
      <c r="F1" t="s">
        <v>42</v>
      </c>
      <c r="G1" t="s">
        <v>43</v>
      </c>
      <c r="H1" t="s">
        <v>34</v>
      </c>
      <c r="I1" t="s">
        <v>35</v>
      </c>
    </row>
    <row r="2" spans="1:9" x14ac:dyDescent="0.3">
      <c r="A2" t="s">
        <v>8</v>
      </c>
      <c r="B2" t="s">
        <v>8</v>
      </c>
      <c r="C2" t="s">
        <v>8</v>
      </c>
      <c r="D2" t="s">
        <v>8</v>
      </c>
      <c r="E2" t="s">
        <v>8</v>
      </c>
      <c r="F2" t="s">
        <v>44</v>
      </c>
      <c r="H2" t="str">
        <f>+_xlfn.IFNA(VLOOKUP(TR_Master[[#This Row],[Request Emp]],Emp_Master[],2,0),"")</f>
        <v>t</v>
      </c>
      <c r="I2" t="str">
        <f>+_xlfn.IFNA(VLOOKUP(TR_Master[[#This Row],[Request Emp]],Emp_Master[],3,0),"")</f>
        <v>Colombo-08</v>
      </c>
    </row>
    <row r="3" spans="1:9" x14ac:dyDescent="0.3">
      <c r="A3" t="s">
        <v>8</v>
      </c>
      <c r="B3" t="s">
        <v>8</v>
      </c>
      <c r="C3" t="s">
        <v>9</v>
      </c>
      <c r="D3" t="s">
        <v>8</v>
      </c>
      <c r="E3" t="s">
        <v>8</v>
      </c>
      <c r="H3" t="str">
        <f>+_xlfn.IFNA(VLOOKUP(TR_Master[[#This Row],[Request Emp]],Emp_Master[],2,0),"")</f>
        <v>t</v>
      </c>
      <c r="I3" t="str">
        <f>+_xlfn.IFNA(VLOOKUP(TR_Master[[#This Row],[Request Emp]],Emp_Master[],3,0),"")</f>
        <v>Colombo-08</v>
      </c>
    </row>
    <row r="4" spans="1:9" x14ac:dyDescent="0.3">
      <c r="A4">
        <v>5270</v>
      </c>
      <c r="B4">
        <v>25555</v>
      </c>
      <c r="C4" s="7">
        <v>1</v>
      </c>
      <c r="D4" s="7">
        <v>100000</v>
      </c>
      <c r="E4" s="7">
        <v>100050</v>
      </c>
      <c r="F4" t="s">
        <v>44</v>
      </c>
      <c r="G4" s="2">
        <v>45533</v>
      </c>
      <c r="H4" t="str">
        <f>+_xlfn.IFNA(VLOOKUP(TR_Master[[#This Row],[Request Emp]],Emp_Master[],2,0),"")</f>
        <v>Dimuth</v>
      </c>
      <c r="I4" t="str">
        <f>+_xlfn.IFNA(VLOOKUP(TR_Master[[#This Row],[Request Emp]],Emp_Master[],3,0),"")</f>
        <v>Colomb0-06</v>
      </c>
    </row>
    <row r="5" spans="1:9" x14ac:dyDescent="0.3">
      <c r="A5">
        <v>1823</v>
      </c>
      <c r="B5">
        <v>25555</v>
      </c>
      <c r="C5">
        <v>2</v>
      </c>
      <c r="D5">
        <v>100051</v>
      </c>
      <c r="E5">
        <v>100100</v>
      </c>
      <c r="F5" t="s">
        <v>44</v>
      </c>
      <c r="G5" s="2">
        <v>45534</v>
      </c>
      <c r="H5" t="str">
        <f>+_xlfn.IFNA(VLOOKUP(TR_Master[[#This Row],[Request Emp]],Emp_Master[],2,0),"")</f>
        <v/>
      </c>
      <c r="I5" t="str">
        <f>+_xlfn.IFNA(VLOOKUP(TR_Master[[#This Row],[Request Emp]],Emp_Master[],3,0),"")</f>
        <v/>
      </c>
    </row>
    <row r="6" spans="1:9" x14ac:dyDescent="0.3">
      <c r="A6">
        <v>3800</v>
      </c>
      <c r="B6" t="s">
        <v>171</v>
      </c>
      <c r="C6">
        <v>52520</v>
      </c>
      <c r="D6">
        <v>125000</v>
      </c>
      <c r="E6">
        <v>252222</v>
      </c>
      <c r="H6" s="12" t="str">
        <f>+_xlfn.IFNA(VLOOKUP(TR_Master[[#This Row],[Request Emp]],Emp_Master[],2,0),"")</f>
        <v>Chathuranga Dabare</v>
      </c>
      <c r="I6" s="12" t="str">
        <f>+_xlfn.IFNA(VLOOKUP(TR_Master[[#This Row],[Request Emp]],Emp_Master[],3,0),"")</f>
        <v>Ratnapura-003</v>
      </c>
    </row>
    <row r="7" spans="1:9" x14ac:dyDescent="0.3">
      <c r="A7">
        <v>3800</v>
      </c>
      <c r="B7" t="s">
        <v>172</v>
      </c>
      <c r="C7">
        <v>2502580</v>
      </c>
      <c r="D7">
        <v>1000000</v>
      </c>
      <c r="E7">
        <v>5</v>
      </c>
      <c r="H7" s="12" t="str">
        <f>+_xlfn.IFNA(VLOOKUP(TR_Master[[#This Row],[Request Emp]],Emp_Master[],2,0),"")</f>
        <v>Chathuranga Dabare</v>
      </c>
      <c r="I7" s="12" t="str">
        <f>+_xlfn.IFNA(VLOOKUP(TR_Master[[#This Row],[Request Emp]],Emp_Master[],3,0),"")</f>
        <v>Ratnapura-003</v>
      </c>
    </row>
    <row r="8" spans="1:9" x14ac:dyDescent="0.3">
      <c r="A8">
        <v>3800</v>
      </c>
      <c r="B8" t="s">
        <v>172</v>
      </c>
      <c r="C8">
        <v>200000</v>
      </c>
      <c r="D8">
        <v>1500001</v>
      </c>
      <c r="E8">
        <v>1500051</v>
      </c>
      <c r="H8" s="12" t="str">
        <f>+_xlfn.IFNA(VLOOKUP(TR_Master[[#This Row],[Request Emp]],Emp_Master[],2,0),"")</f>
        <v>Chathuranga Dabare</v>
      </c>
      <c r="I8" s="12" t="str">
        <f>+_xlfn.IFNA(VLOOKUP(TR_Master[[#This Row],[Request Emp]],Emp_Master[],3,0),"")</f>
        <v>Ratnapura-003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15"/>
  <sheetViews>
    <sheetView workbookViewId="0">
      <selection activeCell="F8" sqref="F8"/>
    </sheetView>
  </sheetViews>
  <sheetFormatPr defaultRowHeight="14.4" x14ac:dyDescent="0.3"/>
  <cols>
    <col min="1" max="1" width="9.77734375" bestFit="1" customWidth="1"/>
    <col min="2" max="2" width="17.88671875" bestFit="1" customWidth="1"/>
    <col min="3" max="3" width="13.21875" bestFit="1" customWidth="1"/>
    <col min="4" max="4" width="10.44140625" bestFit="1" customWidth="1"/>
    <col min="5" max="5" width="22.33203125" bestFit="1" customWidth="1"/>
  </cols>
  <sheetData>
    <row r="1" spans="1:5" x14ac:dyDescent="0.3">
      <c r="A1" t="s">
        <v>33</v>
      </c>
      <c r="B1" t="s">
        <v>34</v>
      </c>
      <c r="C1" t="s">
        <v>35</v>
      </c>
      <c r="D1" t="s">
        <v>4</v>
      </c>
      <c r="E1" t="s">
        <v>36</v>
      </c>
    </row>
    <row r="2" spans="1:5" x14ac:dyDescent="0.3">
      <c r="A2" t="s">
        <v>7</v>
      </c>
      <c r="B2" t="s">
        <v>7</v>
      </c>
      <c r="C2" t="s">
        <v>7</v>
      </c>
      <c r="D2" t="s">
        <v>8</v>
      </c>
      <c r="E2" t="s">
        <v>7</v>
      </c>
    </row>
    <row r="3" spans="1:5" x14ac:dyDescent="0.3">
      <c r="A3" t="s">
        <v>9</v>
      </c>
      <c r="B3" t="s">
        <v>9</v>
      </c>
      <c r="C3" t="s">
        <v>8</v>
      </c>
      <c r="D3" t="s">
        <v>7</v>
      </c>
      <c r="E3" t="s">
        <v>7</v>
      </c>
    </row>
    <row r="4" spans="1:5" x14ac:dyDescent="0.3">
      <c r="A4" t="s">
        <v>8</v>
      </c>
      <c r="B4" t="s">
        <v>10</v>
      </c>
      <c r="C4" t="s">
        <v>1</v>
      </c>
      <c r="D4" t="s">
        <v>6</v>
      </c>
      <c r="E4" t="s">
        <v>10</v>
      </c>
    </row>
    <row r="5" spans="1:5" x14ac:dyDescent="0.3">
      <c r="A5" t="s">
        <v>11</v>
      </c>
      <c r="B5" t="s">
        <v>11</v>
      </c>
      <c r="C5" t="s">
        <v>11</v>
      </c>
      <c r="D5" t="s">
        <v>11</v>
      </c>
      <c r="E5" t="s">
        <v>11</v>
      </c>
    </row>
    <row r="6" spans="1:5" x14ac:dyDescent="0.3">
      <c r="A6" t="s">
        <v>12</v>
      </c>
      <c r="B6" t="s">
        <v>12</v>
      </c>
      <c r="C6" t="s">
        <v>2</v>
      </c>
      <c r="D6" t="s">
        <v>6</v>
      </c>
      <c r="E6" t="s">
        <v>13</v>
      </c>
    </row>
    <row r="7" spans="1:5" x14ac:dyDescent="0.3">
      <c r="A7" t="s">
        <v>12</v>
      </c>
      <c r="B7" t="s">
        <v>7</v>
      </c>
      <c r="C7" t="s">
        <v>3</v>
      </c>
      <c r="D7" t="s">
        <v>5</v>
      </c>
      <c r="E7" t="s">
        <v>7</v>
      </c>
    </row>
    <row r="8" spans="1:5" x14ac:dyDescent="0.3">
      <c r="A8" t="s">
        <v>12</v>
      </c>
      <c r="B8" t="s">
        <v>12</v>
      </c>
      <c r="C8" t="s">
        <v>1</v>
      </c>
      <c r="D8" t="s">
        <v>5</v>
      </c>
      <c r="E8" t="s">
        <v>7</v>
      </c>
    </row>
    <row r="9" spans="1:5" x14ac:dyDescent="0.3">
      <c r="A9">
        <v>5270</v>
      </c>
      <c r="B9" t="s">
        <v>25</v>
      </c>
      <c r="C9" t="s">
        <v>26</v>
      </c>
      <c r="D9" t="s">
        <v>27</v>
      </c>
      <c r="E9" t="s">
        <v>7</v>
      </c>
    </row>
    <row r="10" spans="1:5" x14ac:dyDescent="0.3">
      <c r="A10">
        <v>1580</v>
      </c>
      <c r="B10" t="s">
        <v>161</v>
      </c>
      <c r="C10" t="s">
        <v>12</v>
      </c>
      <c r="D10" t="s">
        <v>12</v>
      </c>
      <c r="E10" t="s">
        <v>9</v>
      </c>
    </row>
    <row r="11" spans="1:5" x14ac:dyDescent="0.3">
      <c r="A11" t="s">
        <v>12</v>
      </c>
      <c r="B11" t="s">
        <v>7</v>
      </c>
      <c r="C11" t="s">
        <v>12</v>
      </c>
      <c r="D11" t="s">
        <v>9</v>
      </c>
      <c r="E11" t="s">
        <v>7</v>
      </c>
    </row>
    <row r="12" spans="1:5" x14ac:dyDescent="0.3">
      <c r="A12">
        <v>3800</v>
      </c>
      <c r="B12" t="s">
        <v>162</v>
      </c>
      <c r="C12" t="s">
        <v>46</v>
      </c>
      <c r="D12" t="s">
        <v>149</v>
      </c>
      <c r="E12" t="s">
        <v>163</v>
      </c>
    </row>
    <row r="13" spans="1:5" x14ac:dyDescent="0.3">
      <c r="A13">
        <v>4500</v>
      </c>
      <c r="B13" t="s">
        <v>164</v>
      </c>
      <c r="C13" t="s">
        <v>165</v>
      </c>
      <c r="D13" t="s">
        <v>165</v>
      </c>
      <c r="E13" t="s">
        <v>166</v>
      </c>
    </row>
    <row r="14" spans="1:5" x14ac:dyDescent="0.3">
      <c r="A14">
        <v>3890</v>
      </c>
      <c r="B14" t="s">
        <v>167</v>
      </c>
      <c r="C14" t="s">
        <v>9</v>
      </c>
      <c r="D14" t="s">
        <v>12</v>
      </c>
      <c r="E14" t="s">
        <v>168</v>
      </c>
    </row>
    <row r="15" spans="1:5" x14ac:dyDescent="0.3">
      <c r="A15">
        <v>4528</v>
      </c>
      <c r="B15" t="s">
        <v>169</v>
      </c>
      <c r="C15" t="s">
        <v>46</v>
      </c>
      <c r="D15" t="s">
        <v>150</v>
      </c>
      <c r="E15" t="s">
        <v>170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Enum</vt:lpstr>
      <vt:lpstr>Sheet1</vt:lpstr>
      <vt:lpstr>TR_SU1</vt:lpstr>
      <vt:lpstr>TR_SU2</vt:lpstr>
      <vt:lpstr>TR_Receipt_Master</vt:lpstr>
      <vt:lpstr>TR_Master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2024-09-06T14:21:43Z</dcterms:modified>
</cp:coreProperties>
</file>